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endimentos" sheetId="1" state="visible" r:id="rId1"/>
    <sheet name="U.U e Rec" sheetId="2" state="visible" r:id="rId2"/>
    <sheet name="resumo" sheetId="3" state="visible" r:id="rId3"/>
  </sheets>
  <definedNames>
    <definedName name="_xlnm._FilterDatabase" localSheetId="0" hidden="1">'atendimentos'!$A$1:$J$9</definedName>
    <definedName name="_xlnm._FilterDatabase" localSheetId="1" hidden="1">'U.U e Rec'!$A$1:$E$3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FFC000"/>
      </patternFill>
    </fill>
    <fill>
      <patternFill patternType="solid">
        <fgColor rgb="00DDDDDD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4" borderId="1" pivotButton="0" quotePrefix="0" xfId="0"/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'resumo'!B2</f>
            </strRef>
          </tx>
          <spPr>
            <a:solidFill>
              <a:srgbClr val="003F5C"/>
            </a:solidFill>
            <a:ln>
              <a:prstDash val="solid"/>
            </a:ln>
          </spPr>
          <dLbls>
            <showLegendKey val="0"/>
            <showVal val="1"/>
            <showCatName val="0"/>
            <showSerName val="0"/>
          </dLbls>
          <cat>
            <numRef>
              <f>'resumo'!$A$3:$A$4</f>
            </numRef>
          </cat>
          <val>
            <numRef>
              <f>'resumo'!$B$3:$B$4</f>
            </numRef>
          </val>
        </ser>
        <ser>
          <idx val="1"/>
          <order val="1"/>
          <tx>
            <strRef>
              <f>'resumo'!C2</f>
            </strRef>
          </tx>
          <spPr>
            <a:solidFill>
              <a:srgbClr val="2F4B7C"/>
            </a:solidFill>
            <a:ln>
              <a:prstDash val="solid"/>
            </a:ln>
          </spPr>
          <dLbls>
            <showLegendKey val="0"/>
            <showVal val="1"/>
            <showCatName val="0"/>
            <showSerName val="0"/>
          </dLbls>
          <cat>
            <numRef>
              <f>'resumo'!$A$3:$A$4</f>
            </numRef>
          </cat>
          <val>
            <numRef>
              <f>'resumo'!$C$3:$C$4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Id. Atendimento</t>
        </is>
      </c>
      <c r="B1" s="3" t="inlineStr">
        <is>
          <t>Data</t>
        </is>
      </c>
      <c r="C1" s="3" t="inlineStr">
        <is>
          <t>Identificação</t>
        </is>
      </c>
      <c r="D1" s="3" t="inlineStr">
        <is>
          <t>Propriedades</t>
        </is>
      </c>
      <c r="E1" s="3" t="inlineStr">
        <is>
          <t>Hora</t>
        </is>
      </c>
      <c r="F1" s="3" t="inlineStr">
        <is>
          <t>Dia da Semana</t>
        </is>
      </c>
      <c r="G1" s="3" t="inlineStr">
        <is>
          <t>Período</t>
        </is>
      </c>
      <c r="H1" s="3" t="inlineStr">
        <is>
          <t>Trimestre</t>
        </is>
      </c>
      <c r="I1" s="3" t="inlineStr">
        <is>
          <t>tag_motivo</t>
        </is>
      </c>
      <c r="J1" s="3" t="inlineStr">
        <is>
          <t>tag_status</t>
        </is>
      </c>
    </row>
    <row r="2">
      <c r="A2" t="inlineStr">
        <is>
          <t>AT-SIM-001</t>
        </is>
      </c>
      <c r="B2" s="4" t="n">
        <v>45662.375</v>
      </c>
      <c r="C2" t="inlineStr">
        <is>
          <t>usuario-sintetico-01</t>
        </is>
      </c>
      <c r="D2" t="inlineStr">
        <is>
          <t>tag_motivo:dúvida | tag_status:resolvido |</t>
        </is>
      </c>
      <c r="E2" t="inlineStr">
        <is>
          <t>09</t>
        </is>
      </c>
      <c r="F2" t="inlineStr">
        <is>
          <t>Domingo</t>
        </is>
      </c>
      <c r="G2" t="inlineStr">
        <is>
          <t>jan/25</t>
        </is>
      </c>
      <c r="H2" t="inlineStr">
        <is>
          <t>1° Trimestre de 2025</t>
        </is>
      </c>
      <c r="I2" t="inlineStr">
        <is>
          <t>dúvida</t>
        </is>
      </c>
      <c r="J2" t="inlineStr">
        <is>
          <t>resolvido</t>
        </is>
      </c>
    </row>
    <row r="3">
      <c r="A3" t="inlineStr">
        <is>
          <t>AT-SIM-002</t>
        </is>
      </c>
      <c r="B3" s="4" t="n">
        <v>45662.41666666666</v>
      </c>
      <c r="C3" t="inlineStr">
        <is>
          <t>usuario-sintetico-01</t>
        </is>
      </c>
      <c r="D3" t="inlineStr">
        <is>
          <t>tag_motivo:pedido | tag_status:pendente |</t>
        </is>
      </c>
      <c r="E3" t="inlineStr">
        <is>
          <t>10</t>
        </is>
      </c>
      <c r="F3" t="inlineStr">
        <is>
          <t>Domingo</t>
        </is>
      </c>
      <c r="G3" t="inlineStr">
        <is>
          <t>jan/25</t>
        </is>
      </c>
      <c r="H3" t="inlineStr">
        <is>
          <t>1° Trimestre de 2025</t>
        </is>
      </c>
      <c r="I3" t="inlineStr">
        <is>
          <t>pedido</t>
        </is>
      </c>
      <c r="J3" t="inlineStr">
        <is>
          <t>pendente</t>
        </is>
      </c>
    </row>
    <row r="4">
      <c r="A4" t="inlineStr">
        <is>
          <t>AT-SIM-003</t>
        </is>
      </c>
      <c r="B4" s="4" t="n">
        <v>45663.45833333334</v>
      </c>
      <c r="C4" t="inlineStr">
        <is>
          <t>usuario-sintetico-01</t>
        </is>
      </c>
      <c r="D4" t="inlineStr">
        <is>
          <t>tag_motivo:pedido | tag_status:resolvido |</t>
        </is>
      </c>
      <c r="E4" t="inlineStr">
        <is>
          <t>11</t>
        </is>
      </c>
      <c r="F4" t="inlineStr">
        <is>
          <t>Segunda-feira</t>
        </is>
      </c>
      <c r="G4" t="inlineStr">
        <is>
          <t>jan/25</t>
        </is>
      </c>
      <c r="H4" t="inlineStr">
        <is>
          <t>1° Trimestre de 2025</t>
        </is>
      </c>
      <c r="I4" t="inlineStr">
        <is>
          <t>pedido</t>
        </is>
      </c>
      <c r="J4" t="inlineStr">
        <is>
          <t>resolvido</t>
        </is>
      </c>
    </row>
    <row r="5">
      <c r="A5" t="inlineStr">
        <is>
          <t>AT-SIM-004</t>
        </is>
      </c>
      <c r="B5" s="4" t="n">
        <v>45664.5</v>
      </c>
      <c r="C5" t="inlineStr">
        <is>
          <t>usuario-sintetico-02</t>
        </is>
      </c>
      <c r="D5" t="inlineStr">
        <is>
          <t>tag_motivo:dúvida | tag_status:resolvido |</t>
        </is>
      </c>
      <c r="E5" t="inlineStr">
        <is>
          <t>12</t>
        </is>
      </c>
      <c r="F5" t="inlineStr">
        <is>
          <t>Terça-feira</t>
        </is>
      </c>
      <c r="G5" t="inlineStr">
        <is>
          <t>jan/25</t>
        </is>
      </c>
      <c r="H5" t="inlineStr">
        <is>
          <t>1° Trimestre de 2025</t>
        </is>
      </c>
      <c r="I5" t="inlineStr">
        <is>
          <t>dúvida</t>
        </is>
      </c>
      <c r="J5" t="inlineStr">
        <is>
          <t>resolvido</t>
        </is>
      </c>
    </row>
    <row r="6">
      <c r="A6" t="inlineStr">
        <is>
          <t>AT-SIM-005</t>
        </is>
      </c>
      <c r="B6" s="4" t="n">
        <v>45665.54166666666</v>
      </c>
      <c r="C6" t="inlineStr">
        <is>
          <t>usuario-sintetico-02</t>
        </is>
      </c>
      <c r="D6" t="inlineStr">
        <is>
          <t>tag_motivo:pedido | tag_status:pendente |</t>
        </is>
      </c>
      <c r="E6" t="inlineStr">
        <is>
          <t>13</t>
        </is>
      </c>
      <c r="F6" t="inlineStr">
        <is>
          <t>Quarta-feira</t>
        </is>
      </c>
      <c r="G6" t="inlineStr">
        <is>
          <t>jan/25</t>
        </is>
      </c>
      <c r="H6" t="inlineStr">
        <is>
          <t>1° Trimestre de 2025</t>
        </is>
      </c>
      <c r="I6" t="inlineStr">
        <is>
          <t>pedido</t>
        </is>
      </c>
      <c r="J6" t="inlineStr">
        <is>
          <t>pendente</t>
        </is>
      </c>
    </row>
    <row r="7">
      <c r="A7" t="inlineStr">
        <is>
          <t>AT-SIM-006</t>
        </is>
      </c>
      <c r="B7" s="4" t="n">
        <v>45690.41666666666</v>
      </c>
      <c r="C7" t="inlineStr">
        <is>
          <t>usuario-sintetico-01</t>
        </is>
      </c>
      <c r="D7" t="inlineStr">
        <is>
          <t>tag_motivo:pedido | tag_status:resolvido |</t>
        </is>
      </c>
      <c r="E7" t="inlineStr">
        <is>
          <t>10</t>
        </is>
      </c>
      <c r="F7" t="inlineStr">
        <is>
          <t>Domingo</t>
        </is>
      </c>
      <c r="G7" t="inlineStr">
        <is>
          <t>fev/25</t>
        </is>
      </c>
      <c r="H7" t="inlineStr">
        <is>
          <t>1° Trimestre de 2025</t>
        </is>
      </c>
      <c r="I7" t="inlineStr">
        <is>
          <t>pedido</t>
        </is>
      </c>
      <c r="J7" t="inlineStr">
        <is>
          <t>resolvido</t>
        </is>
      </c>
    </row>
    <row r="8">
      <c r="A8" t="inlineStr">
        <is>
          <t>AT-SIM-007</t>
        </is>
      </c>
      <c r="B8" s="4" t="n">
        <v>45691.45833333334</v>
      </c>
      <c r="C8" t="inlineStr">
        <is>
          <t>usuario-sintetico-03</t>
        </is>
      </c>
      <c r="D8" t="inlineStr">
        <is>
          <t>tag_motivo:dúvida | tag_status:pendente |</t>
        </is>
      </c>
      <c r="E8" t="inlineStr">
        <is>
          <t>11</t>
        </is>
      </c>
      <c r="F8" t="inlineStr">
        <is>
          <t>Segunda-feira</t>
        </is>
      </c>
      <c r="G8" t="inlineStr">
        <is>
          <t>fev/25</t>
        </is>
      </c>
      <c r="H8" t="inlineStr">
        <is>
          <t>1° Trimestre de 2025</t>
        </is>
      </c>
      <c r="I8" t="inlineStr">
        <is>
          <t>dúvida</t>
        </is>
      </c>
      <c r="J8" t="inlineStr">
        <is>
          <t>pendente</t>
        </is>
      </c>
    </row>
    <row r="9">
      <c r="A9" t="inlineStr">
        <is>
          <t>AT-SIM-008</t>
        </is>
      </c>
      <c r="B9" s="4" t="n">
        <v>45692.5</v>
      </c>
      <c r="C9" t="inlineStr">
        <is>
          <t>usuario-sintetico-03</t>
        </is>
      </c>
      <c r="D9" t="inlineStr">
        <is>
          <t>tag_motivo:dúvida | tag_status:resolvido |</t>
        </is>
      </c>
      <c r="E9" t="inlineStr">
        <is>
          <t>12</t>
        </is>
      </c>
      <c r="F9" t="inlineStr">
        <is>
          <t>Terça-feira</t>
        </is>
      </c>
      <c r="G9" t="inlineStr">
        <is>
          <t>fev/25</t>
        </is>
      </c>
      <c r="H9" t="inlineStr">
        <is>
          <t>1° Trimestre de 2025</t>
        </is>
      </c>
      <c r="I9" t="inlineStr">
        <is>
          <t>dúvida</t>
        </is>
      </c>
      <c r="J9" t="inlineStr">
        <is>
          <t>resolvido</t>
        </is>
      </c>
    </row>
  </sheetData>
  <autoFilter ref="A1:J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Período</t>
        </is>
      </c>
      <c r="B1" s="3" t="inlineStr">
        <is>
          <t>Total de atendimentos</t>
        </is>
      </c>
      <c r="C1" s="3" t="inlineStr">
        <is>
          <t>Total únicos por período</t>
        </is>
      </c>
      <c r="D1" s="3" t="inlineStr">
        <is>
          <t>Taxa de recontato (%)</t>
        </is>
      </c>
      <c r="E1" s="3" t="inlineStr">
        <is>
          <t>Média de atendimentos por usuário único</t>
        </is>
      </c>
    </row>
    <row r="2">
      <c r="A2" t="inlineStr">
        <is>
          <t>jan/25</t>
        </is>
      </c>
      <c r="B2" t="n">
        <v>5</v>
      </c>
      <c r="C2" t="n">
        <v>2</v>
      </c>
      <c r="D2" t="inlineStr">
        <is>
          <t>150.00%</t>
        </is>
      </c>
      <c r="E2" t="inlineStr">
        <is>
          <t>2.50</t>
        </is>
      </c>
    </row>
    <row r="3">
      <c r="A3" t="inlineStr">
        <is>
          <t>fev/25</t>
        </is>
      </c>
      <c r="B3" t="n">
        <v>3</v>
      </c>
      <c r="C3" t="n">
        <v>2</v>
      </c>
      <c r="D3" t="inlineStr">
        <is>
          <t>50.00%</t>
        </is>
      </c>
      <c r="E3" t="inlineStr">
        <is>
          <t>1.50</t>
        </is>
      </c>
    </row>
  </sheetData>
  <autoFilter ref="A1:E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  <col width="7" customWidth="1" min="4" max="4"/>
  </cols>
  <sheetData>
    <row r="1">
      <c r="A1" s="5" t="inlineStr">
        <is>
          <t>Análise de tag_motivo</t>
        </is>
      </c>
      <c r="B1" s="6" t="n"/>
      <c r="C1" s="6" t="n"/>
      <c r="D1" s="6" t="n"/>
    </row>
    <row r="2">
      <c r="A2" s="7" t="inlineStr">
        <is>
          <t>tag_motivo</t>
        </is>
      </c>
      <c r="B2" s="7" t="inlineStr">
        <is>
          <t>fev/25</t>
        </is>
      </c>
      <c r="C2" s="7" t="inlineStr">
        <is>
          <t>jan/25</t>
        </is>
      </c>
      <c r="D2" s="7" t="inlineStr">
        <is>
          <t>TOTAL</t>
        </is>
      </c>
    </row>
    <row r="3">
      <c r="A3" s="8" t="inlineStr">
        <is>
          <t>dúvida</t>
        </is>
      </c>
      <c r="B3" s="9" t="n">
        <v>2</v>
      </c>
      <c r="C3" s="9" t="n">
        <v>2</v>
      </c>
      <c r="D3" s="9" t="n">
        <v>4</v>
      </c>
    </row>
    <row r="4">
      <c r="A4" s="8" t="inlineStr">
        <is>
          <t>pedido</t>
        </is>
      </c>
      <c r="B4" s="9" t="n">
        <v>1</v>
      </c>
      <c r="C4" s="9" t="n">
        <v>3</v>
      </c>
      <c r="D4" s="9" t="n">
        <v>4</v>
      </c>
    </row>
    <row r="5">
      <c r="A5" s="10" t="inlineStr">
        <is>
          <t>TOTAL</t>
        </is>
      </c>
      <c r="B5" s="11" t="n">
        <v>3</v>
      </c>
      <c r="C5" s="11" t="n">
        <v>5</v>
      </c>
      <c r="D5" s="11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2026-10-06T23:00:55Z</dcterms:created>
  <dcterms:modified xsi:type="dcterms:W3CDTF">2026-10-06T23:00:55Z</dcterms:modified>
</cp:coreProperties>
</file>